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nsu.na\Desktop\대시보드\files\"/>
    </mc:Choice>
  </mc:AlternateContent>
  <xr:revisionPtr revIDLastSave="0" documentId="13_ncr:1_{8F5BC23F-6EFA-4265-B5C7-5A318ED4E2D8}" xr6:coauthVersionLast="47" xr6:coauthVersionMax="47" xr10:uidLastSave="{00000000-0000-0000-0000-000000000000}"/>
  <bookViews>
    <workbookView xWindow="-110" yWindow="-110" windowWidth="38620" windowHeight="15500" xr2:uid="{0012519A-6D3D-47FD-B834-007F77F7C2C5}"/>
  </bookViews>
  <sheets>
    <sheet name="Sheet1" sheetId="1" r:id="rId1"/>
  </sheets>
  <definedNames>
    <definedName name="_xlnm._FilterDatabase" localSheetId="0" hidden="1">Sheet1!$A$1:$D$196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2" i="1"/>
</calcChain>
</file>

<file path=xl/sharedStrings.xml><?xml version="1.0" encoding="utf-8"?>
<sst xmlns="http://schemas.openxmlformats.org/spreadsheetml/2006/main" count="197" uniqueCount="197">
  <si>
    <t>AED</t>
  </si>
  <si>
    <t>AFN</t>
  </si>
  <si>
    <t>ALL</t>
  </si>
  <si>
    <t>AMD</t>
  </si>
  <si>
    <t>ANG</t>
  </si>
  <si>
    <t>ANP</t>
  </si>
  <si>
    <t>AOA</t>
  </si>
  <si>
    <t>ARP</t>
  </si>
  <si>
    <t>ARS</t>
  </si>
  <si>
    <t>ATS</t>
  </si>
  <si>
    <t>AUD</t>
  </si>
  <si>
    <t>AUR</t>
  </si>
  <si>
    <t>AWG</t>
  </si>
  <si>
    <t>AZN</t>
  </si>
  <si>
    <t>BBD</t>
  </si>
  <si>
    <t>BDT</t>
  </si>
  <si>
    <t>BEF</t>
  </si>
  <si>
    <t>BGN</t>
  </si>
  <si>
    <t>BHD</t>
  </si>
  <si>
    <t>BIF</t>
  </si>
  <si>
    <t>BMD</t>
  </si>
  <si>
    <t>BND</t>
  </si>
  <si>
    <t>BOB</t>
  </si>
  <si>
    <t>BOL</t>
  </si>
  <si>
    <t>BRL</t>
  </si>
  <si>
    <t>BSD</t>
  </si>
  <si>
    <t>BTN</t>
  </si>
  <si>
    <t>BWP</t>
  </si>
  <si>
    <t>BZD</t>
  </si>
  <si>
    <t>CAD</t>
  </si>
  <si>
    <t>CDF</t>
  </si>
  <si>
    <t>CHF</t>
  </si>
  <si>
    <t>CLF</t>
  </si>
  <si>
    <t>CLP</t>
  </si>
  <si>
    <t>CNY</t>
  </si>
  <si>
    <t>COP</t>
  </si>
  <si>
    <t>CRC</t>
  </si>
  <si>
    <t>CRU</t>
  </si>
  <si>
    <t>CUP</t>
  </si>
  <si>
    <t>CVE</t>
  </si>
  <si>
    <t>CYP</t>
  </si>
  <si>
    <t>CZK</t>
  </si>
  <si>
    <t>CZN</t>
  </si>
  <si>
    <t>CZR</t>
  </si>
  <si>
    <t>CZU</t>
  </si>
  <si>
    <t>DEM</t>
  </si>
  <si>
    <t>DJF</t>
  </si>
  <si>
    <t>DKK</t>
  </si>
  <si>
    <t>DOP</t>
  </si>
  <si>
    <t>DZD</t>
  </si>
  <si>
    <t>ECS</t>
  </si>
  <si>
    <t>ECU</t>
  </si>
  <si>
    <t>EGP</t>
  </si>
  <si>
    <t>ESP</t>
  </si>
  <si>
    <t>ETB</t>
  </si>
  <si>
    <t>EUR</t>
  </si>
  <si>
    <t>FIM</t>
  </si>
  <si>
    <t>FJD</t>
  </si>
  <si>
    <t>FKP</t>
  </si>
  <si>
    <t>FRF</t>
  </si>
  <si>
    <t>GAF</t>
  </si>
  <si>
    <t>GBP</t>
  </si>
  <si>
    <t>GEL</t>
  </si>
  <si>
    <t>GHS</t>
  </si>
  <si>
    <t>GIP</t>
  </si>
  <si>
    <t>GMD</t>
  </si>
  <si>
    <t>GNF</t>
  </si>
  <si>
    <t>GRD</t>
  </si>
  <si>
    <t>GTQ</t>
  </si>
  <si>
    <t>GYD</t>
  </si>
  <si>
    <t>HKD</t>
  </si>
  <si>
    <t>HNL</t>
  </si>
  <si>
    <t>HRK</t>
  </si>
  <si>
    <t>HTG</t>
  </si>
  <si>
    <t>HUF</t>
  </si>
  <si>
    <t>IDR</t>
  </si>
  <si>
    <t>IEP</t>
  </si>
  <si>
    <t>ILS</t>
  </si>
  <si>
    <t>INR</t>
  </si>
  <si>
    <t>IQD</t>
  </si>
  <si>
    <t>IRR</t>
  </si>
  <si>
    <t>ISK</t>
  </si>
  <si>
    <t>ISL</t>
  </si>
  <si>
    <t>ISS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</si>
  <si>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</si>
  <si>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</si>
  <si>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</si>
  <si>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</si>
  <si>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</si>
  <si>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</si>
  <si>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</si>
  <si>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</si>
  <si>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</si>
  <si>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</si>
  <si>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</si>
  <si>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</si>
  <si>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</si>
  <si>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</si>
  <si>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</si>
  <si>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LEB</t>
  </si>
  <si>
    <t>LEI</t>
  </si>
  <si>
    <t>LKR</t>
  </si>
  <si>
    <t>LRD</t>
  </si>
  <si>
    <t>LSL</t>
  </si>
  <si>
    <t>LUF</t>
  </si>
  <si>
    <t>LVL</t>
  </si>
  <si>
    <t>LYD</t>
  </si>
  <si>
    <t>MAD</t>
  </si>
  <si>
    <t>MDF</t>
  </si>
  <si>
    <t>MDL</t>
  </si>
  <si>
    <t>MEP</t>
  </si>
  <si>
    <t>MGF</t>
  </si>
  <si>
    <t>MMK</t>
  </si>
  <si>
    <t>MNF</t>
  </si>
  <si>
    <t>MNT</t>
  </si>
  <si>
    <t>MOP</t>
  </si>
  <si>
    <t>MRK</t>
  </si>
  <si>
    <t>MRO</t>
  </si>
  <si>
    <t>MTL</t>
  </si>
  <si>
    <t>MUR</t>
  </si>
  <si>
    <t>MVR</t>
  </si>
  <si>
    <t>MWK</t>
  </si>
  <si>
    <t>MXN</t>
  </si>
  <si>
    <t>MYR</t>
  </si>
  <si>
    <t>MZN</t>
  </si>
  <si>
    <t>NGN</t>
  </si>
  <si>
    <t>NIO</t>
  </si>
  <si>
    <t>NLG</t>
  </si>
  <si>
    <t>NOK</t>
  </si>
  <si>
    <t>NPR</t>
  </si>
  <si>
    <t>NUP</t>
  </si>
  <si>
    <t>NZD</t>
  </si>
  <si>
    <t>OMR</t>
  </si>
  <si>
    <t>PAB</t>
  </si>
  <si>
    <t>PEN</t>
  </si>
  <si>
    <t>PGK</t>
  </si>
  <si>
    <t>PHP</t>
  </si>
  <si>
    <t>PKR</t>
  </si>
  <si>
    <t>PLN</t>
  </si>
  <si>
    <t>PTE</t>
  </si>
  <si>
    <t>PYG</t>
  </si>
  <si>
    <t>QAR</t>
  </si>
  <si>
    <t>RHD</t>
  </si>
  <si>
    <t>RON</t>
  </si>
  <si>
    <t>ROU</t>
  </si>
  <si>
    <t>RSD</t>
  </si>
  <si>
    <t>RUB</t>
  </si>
  <si>
    <t>RWF</t>
  </si>
  <si>
    <t>SAR</t>
  </si>
  <si>
    <t>SAZ</t>
  </si>
  <si>
    <t>SBD</t>
  </si>
  <si>
    <t>SCR</t>
  </si>
  <si>
    <t>SDG</t>
  </si>
  <si>
    <t>SEK</t>
  </si>
  <si>
    <t>SFL</t>
  </si>
  <si>
    <t>SGD</t>
  </si>
  <si>
    <t>SHP</t>
  </si>
  <si>
    <t>SIT</t>
  </si>
  <si>
    <t>SKK</t>
  </si>
  <si>
    <t>SLL</t>
  </si>
  <si>
    <t>SOS</t>
  </si>
  <si>
    <t>SRG</t>
  </si>
  <si>
    <t>STD</t>
  </si>
  <si>
    <t>SUA</t>
  </si>
  <si>
    <t>SUC</t>
  </si>
  <si>
    <t>SUL</t>
  </si>
  <si>
    <t>SVC</t>
  </si>
  <si>
    <t>SYP</t>
  </si>
  <si>
    <t>SZL</t>
  </si>
  <si>
    <t>THB</t>
  </si>
  <si>
    <t>TMT</t>
  </si>
  <si>
    <t>TND</t>
  </si>
  <si>
    <t>TOP</t>
  </si>
  <si>
    <t>TRY</t>
  </si>
  <si>
    <t>TTD</t>
  </si>
  <si>
    <t>TUL</t>
  </si>
  <si>
    <t>TWD</t>
  </si>
  <si>
    <t>TZS</t>
  </si>
  <si>
    <t>UAH</t>
  </si>
  <si>
    <t>UGX</t>
  </si>
  <si>
    <t>USD</t>
  </si>
  <si>
    <t>UYU</t>
  </si>
  <si>
    <t>UZS</t>
  </si>
  <si>
    <t>VBO</t>
  </si>
  <si>
    <t>VEF</t>
  </si>
  <si>
    <t>VND</t>
  </si>
  <si>
    <t>VUV</t>
  </si>
  <si>
    <t>WST</t>
  </si>
  <si>
    <t>XAF</t>
  </si>
  <si>
    <t>XCD</t>
  </si>
  <si>
    <t>XOF</t>
  </si>
  <si>
    <t>YEM</t>
  </si>
  <si>
    <t>YEN</t>
  </si>
  <si>
    <t>YUD</t>
  </si>
  <si>
    <t>ZAR</t>
  </si>
  <si>
    <t>CurrencyCode</t>
  </si>
  <si>
    <t>FX Rate(%)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</si>
</sst>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4" fontId="0" fillId="0" borderId="0" xfId="0" applyNumberFormat="1">
      <alignment vertical="center"/>
    </xf>
    <xf numFmtId="9" fontId="0" fillId="0" borderId="0" xfId="2" applyFont="1">
      <alignment vertical="center"/>
    </xf>
    <xf numFmtId="176" fontId="4" fillId="0" borderId="0" xfId="3" applyNumberFormat="1" applyFont="1">
      <alignment vertical="center"/>
    </xf>
  </cellXfs>
  <cellStyles count="4">
    <cellStyle name="백분율" xfId="2" builtinId="5"/>
    <cellStyle name="표준" xfId="0" builtinId="0"/>
    <cellStyle name="표준 2" xfId="1" xr:uid="{60401FC2-8789-487A-9522-9A10CDBC514B}"/>
    <cellStyle name="표준 2 2" xfId="3" xr:uid="{344EF822-5EC3-4768-82BF-DECBA6996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AF15-2864-4563-A9D1-133E919D57A9}">
  <dimension ref="A1:D196"/>
  <sheetViews>
    <sheetView tabSelected="1" zoomScale="160" zoomScaleNormal="160" workbookViewId="0">
      <selection activeCell="B2" sqref="B2"/>
    </sheetView>
  </sheetViews>
  <sheetFormatPr defaultRowHeight="17" x14ac:dyDescent="0.45"/>
  <cols>
    <col min="1" max="1" width="13.4140625" bestFit="1" customWidth="1"/>
    <col min="2" max="2" width="18.58203125" bestFit="1" customWidth="1"/>
    <col min="3" max="3" width="13.6640625" bestFit="1" customWidth="1"/>
    <col min="4" max="4" width="14.4140625" bestFit="1" customWidth="1"/>
  </cols>
  <sheetData>
    <row r="1" spans="1:4" x14ac:dyDescent="0.45">
      <c r="A1" t="s">
        <v>195</v>
      </c>
      <c r="B1" t="s">
        <v>196</v>
      </c>
      <c r="C1">
        <v>202601</v>
      </c>
      <c r="D1">
        <v>202501</v>
      </c>
    </row>
    <row r="2" spans="1:4" x14ac:dyDescent="0.45">
      <c r="A2" t="s">
        <v>0</v>
      </c>
      <c r="B2" s="2">
        <f t="shared" ref="B2:B33" si="0">C2/D2-1</f>
        <v>-4.3569899734863249E-5</v>
      </c>
      <c r="C2">
        <v>3.6720999999999999</v>
      </c>
      <c r="D2" s="3">
        <v>3.6722600000000001</v>
      </c>
    </row>
    <row r="3" spans="1:4" x14ac:dyDescent="0.45">
      <c r="A3" t="s">
        <v>1</v>
      </c>
      <c r="B3" s="2">
        <f t="shared" si="0"/>
        <v>-6.193557562397789E-2</v>
      </c>
      <c r="C3">
        <v>65.959999999999994</v>
      </c>
      <c r="D3" s="3">
        <v>70.314999999999998</v>
      </c>
    </row>
    <row r="4" spans="1:4" x14ac:dyDescent="0.45">
      <c r="A4" t="s">
        <v>2</v>
      </c>
      <c r="B4" s="2">
        <f t="shared" si="0"/>
        <v>-0.12999096177361913</v>
      </c>
      <c r="C4">
        <v>81.819999999999993</v>
      </c>
      <c r="D4" s="3">
        <v>94.045000000000002</v>
      </c>
    </row>
    <row r="5" spans="1:4" x14ac:dyDescent="0.45">
      <c r="A5" t="s">
        <v>3</v>
      </c>
      <c r="B5" s="2">
        <f t="shared" si="0"/>
        <v>-3.845181514814433E-2</v>
      </c>
      <c r="C5">
        <v>380.35</v>
      </c>
      <c r="D5" s="3">
        <v>395.56</v>
      </c>
    </row>
    <row r="6" spans="1:4" x14ac:dyDescent="0.45">
      <c r="A6" t="s">
        <v>4</v>
      </c>
      <c r="B6" s="2">
        <f t="shared" si="0"/>
        <v>0</v>
      </c>
      <c r="C6">
        <v>1.7845</v>
      </c>
      <c r="D6" s="3">
        <v>1.7845</v>
      </c>
    </row>
    <row r="7" spans="1:4" x14ac:dyDescent="0.45">
      <c r="A7" t="s">
        <v>5</v>
      </c>
      <c r="B7" s="2">
        <f t="shared" si="0"/>
        <v>0</v>
      </c>
      <c r="C7" s="1">
        <v>75152.838600000003</v>
      </c>
      <c r="D7" s="3">
        <v>75152.838600000003</v>
      </c>
    </row>
    <row r="8" spans="1:4" x14ac:dyDescent="0.45">
      <c r="A8" t="s">
        <v>6</v>
      </c>
      <c r="B8" s="2">
        <f t="shared" si="0"/>
        <v>-4.3488624052004932E-3</v>
      </c>
      <c r="C8">
        <v>918.98599999999999</v>
      </c>
      <c r="D8" s="3">
        <v>923</v>
      </c>
    </row>
    <row r="9" spans="1:4" x14ac:dyDescent="0.45">
      <c r="A9" t="s">
        <v>7</v>
      </c>
      <c r="B9" s="2">
        <f t="shared" si="0"/>
        <v>0</v>
      </c>
      <c r="C9" s="1">
        <v>83169.068799999994</v>
      </c>
      <c r="D9" s="3">
        <v>83169.068799999994</v>
      </c>
    </row>
    <row r="10" spans="1:4" x14ac:dyDescent="0.45">
      <c r="A10" t="s">
        <v>8</v>
      </c>
      <c r="B10" s="2">
        <f t="shared" si="0"/>
        <v>0.40785645004849669</v>
      </c>
      <c r="C10" s="1">
        <v>1451.5</v>
      </c>
      <c r="D10" s="3">
        <v>1031</v>
      </c>
    </row>
    <row r="11" spans="1:4" x14ac:dyDescent="0.45">
      <c r="A11" t="s">
        <v>9</v>
      </c>
      <c r="B11" s="2">
        <f t="shared" si="0"/>
        <v>-0.11481282424006034</v>
      </c>
      <c r="C11">
        <v>11.710150000000001</v>
      </c>
      <c r="D11" s="3">
        <v>13.229010000000001</v>
      </c>
    </row>
    <row r="12" spans="1:4" x14ac:dyDescent="0.45">
      <c r="A12" t="s">
        <v>10</v>
      </c>
      <c r="B12" s="2">
        <f t="shared" si="0"/>
        <v>-7.2008056845521251E-2</v>
      </c>
      <c r="C12">
        <v>1.49274</v>
      </c>
      <c r="D12" s="3">
        <v>1.6085700000000001</v>
      </c>
    </row>
    <row r="13" spans="1:4" x14ac:dyDescent="0.45">
      <c r="A13" t="s">
        <v>11</v>
      </c>
      <c r="B13" s="2">
        <f t="shared" si="0"/>
        <v>0</v>
      </c>
      <c r="C13" s="1">
        <v>9894.43</v>
      </c>
      <c r="D13" s="3">
        <v>9894.43</v>
      </c>
    </row>
    <row r="14" spans="1:4" x14ac:dyDescent="0.45">
      <c r="A14" t="s">
        <v>12</v>
      </c>
      <c r="B14" s="2">
        <f t="shared" si="0"/>
        <v>0</v>
      </c>
      <c r="C14">
        <v>1.78</v>
      </c>
      <c r="D14" s="3">
        <v>1.78</v>
      </c>
    </row>
    <row r="15" spans="1:4" x14ac:dyDescent="0.45">
      <c r="A15" t="s">
        <v>13</v>
      </c>
      <c r="B15" s="2">
        <f t="shared" si="0"/>
        <v>0</v>
      </c>
      <c r="C15">
        <v>1.6950000000000001</v>
      </c>
      <c r="D15" s="3">
        <v>1.6950000000000001</v>
      </c>
    </row>
    <row r="16" spans="1:4" x14ac:dyDescent="0.45">
      <c r="A16" t="s">
        <v>14</v>
      </c>
      <c r="B16" s="2">
        <f t="shared" si="0"/>
        <v>2.7533728817807912E-4</v>
      </c>
      <c r="C16">
        <v>1.9981</v>
      </c>
      <c r="D16" s="3">
        <v>1.9975499999999999</v>
      </c>
    </row>
    <row r="17" spans="1:4" x14ac:dyDescent="0.45">
      <c r="A17" t="s">
        <v>15</v>
      </c>
      <c r="B17" s="2">
        <f t="shared" si="0"/>
        <v>2.533784379729731E-2</v>
      </c>
      <c r="C17">
        <v>122.06403</v>
      </c>
      <c r="D17" s="3">
        <v>119.04761999999999</v>
      </c>
    </row>
    <row r="18" spans="1:4" x14ac:dyDescent="0.45">
      <c r="A18" t="s">
        <v>16</v>
      </c>
      <c r="B18" s="2">
        <f t="shared" si="0"/>
        <v>-0.11481296403160424</v>
      </c>
      <c r="C18">
        <v>34.329659999999997</v>
      </c>
      <c r="D18" s="3">
        <v>38.782380000000003</v>
      </c>
    </row>
    <row r="19" spans="1:4" x14ac:dyDescent="0.45">
      <c r="A19" t="s">
        <v>17</v>
      </c>
      <c r="B19" s="2">
        <f t="shared" si="0"/>
        <v>-0.11623395604687625</v>
      </c>
      <c r="C19">
        <v>1.6628499999999999</v>
      </c>
      <c r="D19" s="3">
        <v>1.8815500000000001</v>
      </c>
    </row>
    <row r="20" spans="1:4" x14ac:dyDescent="0.45">
      <c r="A20" t="s">
        <v>18</v>
      </c>
      <c r="B20" s="2">
        <f t="shared" si="0"/>
        <v>-6.8934432749157004E-4</v>
      </c>
      <c r="C20">
        <v>0.37691000000000002</v>
      </c>
      <c r="D20" s="3">
        <v>0.37717000000000001</v>
      </c>
    </row>
    <row r="21" spans="1:4" x14ac:dyDescent="0.45">
      <c r="A21" t="s">
        <v>19</v>
      </c>
      <c r="B21" s="2">
        <f t="shared" si="0"/>
        <v>1.09351678704388E-2</v>
      </c>
      <c r="C21" s="1">
        <v>2946.32</v>
      </c>
      <c r="D21" s="3">
        <v>2914.45</v>
      </c>
    </row>
    <row r="22" spans="1:4" x14ac:dyDescent="0.45">
      <c r="A22" t="s">
        <v>20</v>
      </c>
      <c r="B22" s="2">
        <f t="shared" si="0"/>
        <v>0</v>
      </c>
      <c r="C22">
        <v>1</v>
      </c>
      <c r="D22" s="3">
        <v>1</v>
      </c>
    </row>
    <row r="23" spans="1:4" x14ac:dyDescent="0.45">
      <c r="A23" t="s">
        <v>21</v>
      </c>
      <c r="B23" s="2">
        <f t="shared" si="0"/>
        <v>-5.5741901315208731E-2</v>
      </c>
      <c r="C23">
        <v>1.2837000000000001</v>
      </c>
      <c r="D23" s="3">
        <v>1.35948</v>
      </c>
    </row>
    <row r="24" spans="1:4" x14ac:dyDescent="0.45">
      <c r="A24" t="s">
        <v>22</v>
      </c>
      <c r="B24" s="2">
        <f t="shared" si="0"/>
        <v>0</v>
      </c>
      <c r="C24">
        <v>6.9249999999999998</v>
      </c>
      <c r="D24" s="3">
        <v>6.9249999999999998</v>
      </c>
    </row>
    <row r="25" spans="1:4" x14ac:dyDescent="0.45">
      <c r="A25" t="s">
        <v>23</v>
      </c>
      <c r="B25" s="2">
        <f t="shared" si="0"/>
        <v>0</v>
      </c>
      <c r="C25" s="1">
        <v>99999.999899999995</v>
      </c>
      <c r="D25" s="3">
        <v>99999.999899999995</v>
      </c>
    </row>
    <row r="26" spans="1:4" x14ac:dyDescent="0.45">
      <c r="A26" t="s">
        <v>24</v>
      </c>
      <c r="B26" s="2">
        <f t="shared" si="0"/>
        <v>-0.11510446601313007</v>
      </c>
      <c r="C26">
        <v>5.4656900000000004</v>
      </c>
      <c r="D26" s="3">
        <v>6.1766500000000004</v>
      </c>
    </row>
    <row r="27" spans="1:4" x14ac:dyDescent="0.45">
      <c r="A27" t="s">
        <v>25</v>
      </c>
      <c r="B27" s="2">
        <f t="shared" si="0"/>
        <v>0</v>
      </c>
      <c r="C27">
        <v>1</v>
      </c>
      <c r="D27" s="3">
        <v>1</v>
      </c>
    </row>
    <row r="28" spans="1:4" x14ac:dyDescent="0.45">
      <c r="A28" t="s">
        <v>26</v>
      </c>
      <c r="B28" s="2">
        <f t="shared" si="0"/>
        <v>5.0670021651354702E-2</v>
      </c>
      <c r="C28">
        <v>89.774500000000003</v>
      </c>
      <c r="D28" s="3">
        <v>85.444999999999993</v>
      </c>
    </row>
    <row r="29" spans="1:4" x14ac:dyDescent="0.45">
      <c r="A29" t="s">
        <v>27</v>
      </c>
      <c r="B29" s="2">
        <f t="shared" si="0"/>
        <v>4.9019607843137081E-3</v>
      </c>
      <c r="C29">
        <v>14.005599999999999</v>
      </c>
      <c r="D29" s="3">
        <v>13.937279999999999</v>
      </c>
    </row>
    <row r="30" spans="1:4" x14ac:dyDescent="0.45">
      <c r="A30" t="s">
        <v>28</v>
      </c>
      <c r="B30" s="2">
        <f t="shared" si="0"/>
        <v>4.9997500124909777E-5</v>
      </c>
      <c r="C30">
        <v>2.0002</v>
      </c>
      <c r="D30" s="3">
        <v>2.0001000000000002</v>
      </c>
    </row>
    <row r="31" spans="1:4" x14ac:dyDescent="0.45">
      <c r="A31" t="s">
        <v>29</v>
      </c>
      <c r="B31" s="2">
        <f t="shared" si="0"/>
        <v>-4.605909442427869E-2</v>
      </c>
      <c r="C31">
        <v>1.3692200000000001</v>
      </c>
      <c r="D31" s="3">
        <v>1.43533</v>
      </c>
    </row>
    <row r="32" spans="1:4" x14ac:dyDescent="0.45">
      <c r="A32" t="s">
        <v>30</v>
      </c>
      <c r="B32" s="2">
        <f t="shared" si="0"/>
        <v>-0.20094521267285137</v>
      </c>
      <c r="C32" s="1">
        <v>2282.5</v>
      </c>
      <c r="D32" s="3">
        <v>2856.5</v>
      </c>
    </row>
    <row r="33" spans="1:4" x14ac:dyDescent="0.45">
      <c r="A33" t="s">
        <v>31</v>
      </c>
      <c r="B33" s="2">
        <f t="shared" si="0"/>
        <v>-0.12389478460057313</v>
      </c>
      <c r="C33">
        <v>0.79171000000000002</v>
      </c>
      <c r="D33" s="3">
        <v>0.90366999999999997</v>
      </c>
    </row>
    <row r="34" spans="1:4" x14ac:dyDescent="0.45">
      <c r="A34" t="s">
        <v>32</v>
      </c>
      <c r="B34" s="2">
        <f t="shared" ref="B34:B65" si="1">C34/D34-1</f>
        <v>-0.1118854045683314</v>
      </c>
      <c r="C34">
        <v>2.2939999999999999E-2</v>
      </c>
      <c r="D34" s="3">
        <v>2.5829999999999999E-2</v>
      </c>
    </row>
    <row r="35" spans="1:4" x14ac:dyDescent="0.45">
      <c r="A35" t="s">
        <v>33</v>
      </c>
      <c r="B35" s="2">
        <f t="shared" si="1"/>
        <v>-9.4437499999999952E-2</v>
      </c>
      <c r="C35">
        <v>905.5625</v>
      </c>
      <c r="D35" s="3">
        <v>1000</v>
      </c>
    </row>
    <row r="36" spans="1:4" x14ac:dyDescent="0.45">
      <c r="A36" t="s">
        <v>34</v>
      </c>
      <c r="B36" s="2">
        <f t="shared" si="1"/>
        <v>-4.0528659698941705E-2</v>
      </c>
      <c r="C36">
        <v>7.0062899999999999</v>
      </c>
      <c r="D36" s="3">
        <v>7.3022400000000003</v>
      </c>
    </row>
    <row r="37" spans="1:4" x14ac:dyDescent="0.45">
      <c r="A37" t="s">
        <v>35</v>
      </c>
      <c r="B37" s="2">
        <f t="shared" si="1"/>
        <v>-0.14404347865568501</v>
      </c>
      <c r="C37" s="1">
        <v>3770.42</v>
      </c>
      <c r="D37" s="3">
        <v>4404.92</v>
      </c>
    </row>
    <row r="38" spans="1:4" x14ac:dyDescent="0.45">
      <c r="A38" t="s">
        <v>36</v>
      </c>
      <c r="B38" s="2">
        <f t="shared" si="1"/>
        <v>-2.598120508568269E-2</v>
      </c>
      <c r="C38">
        <v>493.36</v>
      </c>
      <c r="D38" s="3">
        <v>506.52</v>
      </c>
    </row>
    <row r="39" spans="1:4" x14ac:dyDescent="0.45">
      <c r="A39" t="s">
        <v>37</v>
      </c>
      <c r="B39" s="2">
        <f t="shared" si="1"/>
        <v>0</v>
      </c>
      <c r="C39" s="1">
        <v>91568</v>
      </c>
      <c r="D39" s="3">
        <v>91568</v>
      </c>
    </row>
    <row r="40" spans="1:4" x14ac:dyDescent="0.45">
      <c r="A40" t="s">
        <v>38</v>
      </c>
      <c r="B40" s="2">
        <f t="shared" si="1"/>
        <v>0</v>
      </c>
      <c r="C40">
        <v>24</v>
      </c>
      <c r="D40" s="3">
        <v>24</v>
      </c>
    </row>
    <row r="41" spans="1:4" x14ac:dyDescent="0.45">
      <c r="A41" t="s">
        <v>39</v>
      </c>
      <c r="B41" s="2">
        <f t="shared" si="1"/>
        <v>-0.11461723503608312</v>
      </c>
      <c r="C41">
        <v>93.855000000000004</v>
      </c>
      <c r="D41" s="3">
        <v>106.005</v>
      </c>
    </row>
    <row r="42" spans="1:4" x14ac:dyDescent="0.45">
      <c r="A42" t="s">
        <v>40</v>
      </c>
      <c r="B42" s="2">
        <f t="shared" si="1"/>
        <v>-0.11481292711594659</v>
      </c>
      <c r="C42">
        <v>0.85101000000000004</v>
      </c>
      <c r="D42" s="3">
        <v>0.96138999999999997</v>
      </c>
    </row>
    <row r="43" spans="1:4" x14ac:dyDescent="0.45">
      <c r="A43" t="s">
        <v>41</v>
      </c>
      <c r="B43" s="2">
        <f t="shared" si="1"/>
        <v>-0.14832100114299684</v>
      </c>
      <c r="C43">
        <v>20.610240000000001</v>
      </c>
      <c r="D43" s="3">
        <v>24.199539999999999</v>
      </c>
    </row>
    <row r="44" spans="1:4" x14ac:dyDescent="0.45">
      <c r="A44" t="s">
        <v>42</v>
      </c>
      <c r="B44" s="2">
        <f t="shared" si="1"/>
        <v>0</v>
      </c>
      <c r="C44" s="1">
        <v>87836.9</v>
      </c>
      <c r="D44" s="3">
        <v>87836.9</v>
      </c>
    </row>
    <row r="45" spans="1:4" x14ac:dyDescent="0.45">
      <c r="A45" t="s">
        <v>43</v>
      </c>
      <c r="B45" s="2">
        <f t="shared" si="1"/>
        <v>0</v>
      </c>
      <c r="C45">
        <v>0.93689999999999996</v>
      </c>
      <c r="D45" s="3">
        <v>0.93689999999999996</v>
      </c>
    </row>
    <row r="46" spans="1:4" x14ac:dyDescent="0.45">
      <c r="A46" t="s">
        <v>44</v>
      </c>
      <c r="B46" s="2">
        <f t="shared" si="1"/>
        <v>0</v>
      </c>
      <c r="C46" s="1">
        <v>99999.999899999995</v>
      </c>
      <c r="D46" s="3">
        <v>99999.999899999995</v>
      </c>
    </row>
    <row r="47" spans="1:4" x14ac:dyDescent="0.45">
      <c r="A47" t="s">
        <v>45</v>
      </c>
      <c r="B47" s="2">
        <f t="shared" si="1"/>
        <v>-0.11481556330837295</v>
      </c>
      <c r="C47">
        <v>1.6644300000000001</v>
      </c>
      <c r="D47" s="3">
        <v>1.88032</v>
      </c>
    </row>
    <row r="48" spans="1:4" x14ac:dyDescent="0.45">
      <c r="A48" t="s">
        <v>46</v>
      </c>
      <c r="B48" s="2">
        <f t="shared" si="1"/>
        <v>0</v>
      </c>
      <c r="C48">
        <v>177.6</v>
      </c>
      <c r="D48" s="3">
        <v>177.6</v>
      </c>
    </row>
    <row r="49" spans="1:4" x14ac:dyDescent="0.45">
      <c r="A49" t="s">
        <v>47</v>
      </c>
      <c r="B49" s="2">
        <f t="shared" si="1"/>
        <v>-0.11349842126990162</v>
      </c>
      <c r="C49">
        <v>6.3564999999999996</v>
      </c>
      <c r="D49" s="3">
        <v>7.1703200000000002</v>
      </c>
    </row>
    <row r="50" spans="1:4" x14ac:dyDescent="0.45">
      <c r="A50" t="s">
        <v>48</v>
      </c>
      <c r="B50" s="2">
        <f t="shared" si="1"/>
        <v>3.393311971078794E-2</v>
      </c>
      <c r="C50">
        <v>62.92</v>
      </c>
      <c r="D50" s="3">
        <v>60.854999999999997</v>
      </c>
    </row>
    <row r="51" spans="1:4" x14ac:dyDescent="0.45">
      <c r="A51" t="s">
        <v>49</v>
      </c>
      <c r="B51" s="2">
        <f t="shared" si="1"/>
        <v>-4.2691116463119849E-2</v>
      </c>
      <c r="C51">
        <v>129.36607000000001</v>
      </c>
      <c r="D51" s="3">
        <v>135.13514000000001</v>
      </c>
    </row>
    <row r="52" spans="1:4" x14ac:dyDescent="0.45">
      <c r="A52" t="s">
        <v>50</v>
      </c>
      <c r="B52" s="2">
        <f t="shared" si="1"/>
        <v>0</v>
      </c>
      <c r="C52" s="1">
        <v>25000</v>
      </c>
      <c r="D52" s="3">
        <v>25000</v>
      </c>
    </row>
    <row r="53" spans="1:4" x14ac:dyDescent="0.45">
      <c r="A53" t="s">
        <v>51</v>
      </c>
      <c r="B53" s="2">
        <f t="shared" si="1"/>
        <v>-0.11481292711594659</v>
      </c>
      <c r="C53">
        <v>0.85101000000000004</v>
      </c>
      <c r="D53" s="3">
        <v>0.96138999999999997</v>
      </c>
    </row>
    <row r="54" spans="1:4" x14ac:dyDescent="0.45">
      <c r="A54" t="s">
        <v>52</v>
      </c>
      <c r="B54" s="2">
        <f t="shared" si="1"/>
        <v>-6.2000235612006183E-2</v>
      </c>
      <c r="C54">
        <v>47.614199999999997</v>
      </c>
      <c r="D54" s="3">
        <v>50.761420000000001</v>
      </c>
    </row>
    <row r="55" spans="1:4" x14ac:dyDescent="0.45">
      <c r="A55" t="s">
        <v>53</v>
      </c>
      <c r="B55" s="2">
        <f t="shared" si="1"/>
        <v>-0.11481294538747489</v>
      </c>
      <c r="C55">
        <v>141.59614999999999</v>
      </c>
      <c r="D55" s="3">
        <v>159.96184</v>
      </c>
    </row>
    <row r="56" spans="1:4" x14ac:dyDescent="0.45">
      <c r="A56" t="s">
        <v>54</v>
      </c>
      <c r="B56" s="2">
        <f t="shared" si="1"/>
        <v>0.20741666109616674</v>
      </c>
      <c r="C56">
        <v>154.79701</v>
      </c>
      <c r="D56" s="3">
        <v>128.20513</v>
      </c>
    </row>
    <row r="57" spans="1:4" x14ac:dyDescent="0.45">
      <c r="A57" t="s">
        <v>55</v>
      </c>
      <c r="B57" s="2">
        <f t="shared" si="1"/>
        <v>-0.11481292711594659</v>
      </c>
      <c r="C57">
        <v>0.85101000000000004</v>
      </c>
      <c r="D57" s="3">
        <v>0.96138999999999997</v>
      </c>
    </row>
    <row r="58" spans="1:4" x14ac:dyDescent="0.45">
      <c r="A58" t="s">
        <v>56</v>
      </c>
      <c r="B58" s="2">
        <f t="shared" si="1"/>
        <v>-0.11481289044937437</v>
      </c>
      <c r="C58">
        <v>5.0598799999999997</v>
      </c>
      <c r="D58" s="3">
        <v>5.71617</v>
      </c>
    </row>
    <row r="59" spans="1:4" x14ac:dyDescent="0.45">
      <c r="A59" t="s">
        <v>57</v>
      </c>
      <c r="B59" s="2">
        <f t="shared" si="1"/>
        <v>-2.3526828764292684E-2</v>
      </c>
      <c r="C59">
        <v>2.26823</v>
      </c>
      <c r="D59" s="3">
        <v>2.3228800000000001</v>
      </c>
    </row>
    <row r="60" spans="1:4" x14ac:dyDescent="0.45">
      <c r="A60" t="s">
        <v>58</v>
      </c>
      <c r="B60" s="2">
        <f t="shared" si="1"/>
        <v>-6.6929034853895231E-2</v>
      </c>
      <c r="C60">
        <v>0.74209000000000003</v>
      </c>
      <c r="D60" s="3">
        <v>0.79532000000000003</v>
      </c>
    </row>
    <row r="61" spans="1:4" x14ac:dyDescent="0.45">
      <c r="A61" t="s">
        <v>59</v>
      </c>
      <c r="B61" s="2">
        <f t="shared" si="1"/>
        <v>-0.11481357560919148</v>
      </c>
      <c r="C61">
        <v>5.5822599999999998</v>
      </c>
      <c r="D61" s="3">
        <v>6.3063099999999999</v>
      </c>
    </row>
    <row r="62" spans="1:4" x14ac:dyDescent="0.45">
      <c r="A62" t="s">
        <v>60</v>
      </c>
      <c r="B62" s="2">
        <f t="shared" si="1"/>
        <v>-0.12958263381876389</v>
      </c>
      <c r="C62">
        <v>557.35</v>
      </c>
      <c r="D62" s="3">
        <v>640.32500000000005</v>
      </c>
    </row>
    <row r="63" spans="1:4" x14ac:dyDescent="0.45">
      <c r="A63" t="s">
        <v>61</v>
      </c>
      <c r="B63" s="2">
        <f t="shared" si="1"/>
        <v>-6.8681318681318659E-2</v>
      </c>
      <c r="C63">
        <v>0.74241000000000001</v>
      </c>
      <c r="D63" s="3">
        <v>0.79715999999999998</v>
      </c>
    </row>
    <row r="64" spans="1:4" x14ac:dyDescent="0.45">
      <c r="A64" t="s">
        <v>62</v>
      </c>
      <c r="B64" s="2">
        <f t="shared" si="1"/>
        <v>-3.8267148014440422E-2</v>
      </c>
      <c r="C64">
        <v>2.6640000000000001</v>
      </c>
      <c r="D64" s="3">
        <v>2.77</v>
      </c>
    </row>
    <row r="65" spans="1:4" x14ac:dyDescent="0.45">
      <c r="A65" t="s">
        <v>63</v>
      </c>
      <c r="B65" s="2">
        <f t="shared" si="1"/>
        <v>-0.28911564625850339</v>
      </c>
      <c r="C65" s="1">
        <v>104500</v>
      </c>
      <c r="D65" s="3">
        <v>147000</v>
      </c>
    </row>
    <row r="66" spans="1:4" x14ac:dyDescent="0.45">
      <c r="A66" t="s">
        <v>64</v>
      </c>
      <c r="B66" s="2">
        <f t="shared" ref="B66:B97" si="2">C66/D66-1</f>
        <v>-6.6447773961832102E-2</v>
      </c>
      <c r="C66">
        <v>0.74209000000000003</v>
      </c>
      <c r="D66" s="3">
        <v>0.79491000000000001</v>
      </c>
    </row>
    <row r="67" spans="1:4" x14ac:dyDescent="0.45">
      <c r="A67" t="s">
        <v>65</v>
      </c>
      <c r="B67" s="2">
        <f t="shared" si="2"/>
        <v>1.379310344827589E-2</v>
      </c>
      <c r="C67">
        <v>73.5</v>
      </c>
      <c r="D67" s="3">
        <v>72.5</v>
      </c>
    </row>
    <row r="68" spans="1:4" x14ac:dyDescent="0.45">
      <c r="A68" t="s">
        <v>66</v>
      </c>
      <c r="B68" s="2">
        <f t="shared" si="2"/>
        <v>1.3368983957219305E-2</v>
      </c>
      <c r="C68" s="1">
        <v>8717</v>
      </c>
      <c r="D68" s="3">
        <v>8602</v>
      </c>
    </row>
    <row r="69" spans="1:4" x14ac:dyDescent="0.45">
      <c r="A69" t="s">
        <v>67</v>
      </c>
      <c r="B69" s="2">
        <f t="shared" si="2"/>
        <v>-0.11481291272931926</v>
      </c>
      <c r="C69">
        <v>289.98165999999998</v>
      </c>
      <c r="D69" s="3">
        <v>327.59363999999999</v>
      </c>
    </row>
    <row r="70" spans="1:4" x14ac:dyDescent="0.45">
      <c r="A70" t="s">
        <v>68</v>
      </c>
      <c r="B70" s="2">
        <f t="shared" si="2"/>
        <v>-5.1948051948051965E-3</v>
      </c>
      <c r="C70">
        <v>7.66</v>
      </c>
      <c r="D70" s="3">
        <v>7.7</v>
      </c>
    </row>
    <row r="71" spans="1:4" x14ac:dyDescent="0.45">
      <c r="A71" t="s">
        <v>69</v>
      </c>
      <c r="B71" s="2">
        <f t="shared" si="2"/>
        <v>5.0511124473828772E-4</v>
      </c>
      <c r="C71">
        <v>207.98</v>
      </c>
      <c r="D71" s="3">
        <v>207.875</v>
      </c>
    </row>
    <row r="72" spans="1:4" x14ac:dyDescent="0.45">
      <c r="A72" t="s">
        <v>70</v>
      </c>
      <c r="B72" s="2">
        <f t="shared" si="2"/>
        <v>1.9744976816074011E-3</v>
      </c>
      <c r="C72">
        <v>7.7793299999999999</v>
      </c>
      <c r="D72" s="3">
        <v>7.7640000000000002</v>
      </c>
    </row>
    <row r="73" spans="1:4" x14ac:dyDescent="0.45">
      <c r="A73" t="s">
        <v>71</v>
      </c>
      <c r="B73" s="2">
        <f t="shared" si="2"/>
        <v>3.9936480849450007E-2</v>
      </c>
      <c r="C73">
        <v>26.3262</v>
      </c>
      <c r="D73" s="3">
        <v>25.315200000000001</v>
      </c>
    </row>
    <row r="74" spans="1:4" x14ac:dyDescent="0.45">
      <c r="A74" t="s">
        <v>72</v>
      </c>
      <c r="B74" s="2">
        <f t="shared" si="2"/>
        <v>0</v>
      </c>
      <c r="C74">
        <v>7.0386499999999996</v>
      </c>
      <c r="D74" s="3">
        <v>7.0386499999999996</v>
      </c>
    </row>
    <row r="75" spans="1:4" x14ac:dyDescent="0.45">
      <c r="A75" t="s">
        <v>73</v>
      </c>
      <c r="B75" s="2">
        <f t="shared" si="2"/>
        <v>1.9232319509863149E-3</v>
      </c>
      <c r="C75">
        <v>130.5</v>
      </c>
      <c r="D75" s="3">
        <v>130.24950000000001</v>
      </c>
    </row>
    <row r="76" spans="1:4" x14ac:dyDescent="0.45">
      <c r="A76" t="s">
        <v>74</v>
      </c>
      <c r="B76" s="2">
        <f t="shared" si="2"/>
        <v>-0.16778273197945137</v>
      </c>
      <c r="C76">
        <v>328.54874999999998</v>
      </c>
      <c r="D76" s="3">
        <v>394.78723000000002</v>
      </c>
    </row>
    <row r="77" spans="1:4" x14ac:dyDescent="0.45">
      <c r="A77" t="s">
        <v>75</v>
      </c>
      <c r="B77" s="2">
        <f t="shared" si="2"/>
        <v>3.934935693564956E-2</v>
      </c>
      <c r="C77" s="1">
        <v>16769.675930000001</v>
      </c>
      <c r="D77" s="3">
        <v>16134.78261</v>
      </c>
    </row>
    <row r="78" spans="1:4" x14ac:dyDescent="0.45">
      <c r="A78" t="s">
        <v>76</v>
      </c>
      <c r="B78" s="2">
        <f t="shared" si="2"/>
        <v>-0.11482381530984209</v>
      </c>
      <c r="C78">
        <v>0.67022000000000004</v>
      </c>
      <c r="D78" s="3">
        <v>0.75716000000000006</v>
      </c>
    </row>
    <row r="79" spans="1:4" x14ac:dyDescent="0.45">
      <c r="A79" t="s">
        <v>77</v>
      </c>
      <c r="B79" s="2">
        <f t="shared" si="2"/>
        <v>-0.13298739077656629</v>
      </c>
      <c r="C79">
        <v>3.1712199999999999</v>
      </c>
      <c r="D79" s="3">
        <v>3.6576399999999998</v>
      </c>
    </row>
    <row r="80" spans="1:4" x14ac:dyDescent="0.45">
      <c r="A80" t="s">
        <v>78</v>
      </c>
      <c r="B80" s="2">
        <f t="shared" si="2"/>
        <v>4.9017849402053892E-2</v>
      </c>
      <c r="C80">
        <v>89.659649999999999</v>
      </c>
      <c r="D80" s="3">
        <v>85.470089999999999</v>
      </c>
    </row>
    <row r="81" spans="1:4" x14ac:dyDescent="0.45">
      <c r="A81" t="s">
        <v>79</v>
      </c>
      <c r="B81" s="2">
        <f t="shared" si="2"/>
        <v>3.8197097020620241E-4</v>
      </c>
      <c r="C81" s="1">
        <v>1309.5</v>
      </c>
      <c r="D81" s="3">
        <v>1309</v>
      </c>
    </row>
    <row r="82" spans="1:4" x14ac:dyDescent="0.45">
      <c r="A82" t="s">
        <v>80</v>
      </c>
      <c r="B82" s="2">
        <f t="shared" si="2"/>
        <v>0</v>
      </c>
      <c r="C82" s="1">
        <v>42000</v>
      </c>
      <c r="D82" s="3">
        <v>42000</v>
      </c>
    </row>
    <row r="83" spans="1:4" x14ac:dyDescent="0.45">
      <c r="A83" t="s">
        <v>81</v>
      </c>
      <c r="B83" s="2">
        <f t="shared" si="2"/>
        <v>-9.4257698013532676E-2</v>
      </c>
      <c r="C83">
        <v>125.16</v>
      </c>
      <c r="D83" s="3">
        <v>138.185</v>
      </c>
    </row>
    <row r="84" spans="1:4" x14ac:dyDescent="0.45">
      <c r="A84" t="s">
        <v>82</v>
      </c>
      <c r="B84" s="2">
        <f t="shared" si="2"/>
        <v>-0.13298739077656629</v>
      </c>
      <c r="C84" s="1">
        <v>31712.2</v>
      </c>
      <c r="D84" s="3">
        <v>36576.400000000001</v>
      </c>
    </row>
    <row r="85" spans="1:4" x14ac:dyDescent="0.45">
      <c r="A85" t="s">
        <v>83</v>
      </c>
      <c r="B85" s="2">
        <f t="shared" si="2"/>
        <v>-0.13298739077656629</v>
      </c>
      <c r="C85" s="1">
        <v>3171.22</v>
      </c>
      <c r="D85" s="3">
        <v>3657.64</v>
      </c>
    </row>
    <row r="86" spans="1:4" x14ac:dyDescent="0.45">
      <c r="A86" t="s">
        <v>84</v>
      </c>
      <c r="B86" s="2">
        <f t="shared" si="2"/>
        <v>-0.11481293080132948</v>
      </c>
      <c r="C86" s="1">
        <v>1647.78513</v>
      </c>
      <c r="D86" s="3">
        <v>1861.51062</v>
      </c>
    </row>
    <row r="87" spans="1:4" x14ac:dyDescent="0.45">
      <c r="A87" t="s">
        <v>85</v>
      </c>
      <c r="B87" s="2">
        <f t="shared" si="2"/>
        <v>2.1497381521950132E-2</v>
      </c>
      <c r="C87">
        <v>157.995</v>
      </c>
      <c r="D87" s="3">
        <v>154.66999999999999</v>
      </c>
    </row>
    <row r="88" spans="1:4" x14ac:dyDescent="0.45">
      <c r="A88" t="s">
        <v>86</v>
      </c>
      <c r="B88" s="2">
        <f t="shared" si="2"/>
        <v>-2.8051083984100833E-3</v>
      </c>
      <c r="C88">
        <v>0.70743</v>
      </c>
      <c r="D88" s="3">
        <v>0.70942000000000005</v>
      </c>
    </row>
    <row r="89" spans="1:4" x14ac:dyDescent="0.45">
      <c r="A89" t="s">
        <v>87</v>
      </c>
      <c r="B89" s="2">
        <f t="shared" si="2"/>
        <v>-3.869558403632678E-3</v>
      </c>
      <c r="C89">
        <v>156.36399</v>
      </c>
      <c r="D89" s="3">
        <v>156.97139999999999</v>
      </c>
    </row>
    <row r="90" spans="1:4" x14ac:dyDescent="0.45">
      <c r="A90" t="s">
        <v>88</v>
      </c>
      <c r="B90" s="2">
        <f t="shared" si="2"/>
        <v>-9.189179990810814E-3</v>
      </c>
      <c r="C90">
        <v>128.67672999999999</v>
      </c>
      <c r="D90" s="3">
        <v>129.87012999999999</v>
      </c>
    </row>
    <row r="91" spans="1:4" x14ac:dyDescent="0.45">
      <c r="A91" t="s">
        <v>89</v>
      </c>
      <c r="B91" s="2">
        <f t="shared" si="2"/>
        <v>4.7368142768802191E-3</v>
      </c>
      <c r="C91">
        <v>87.411500000000004</v>
      </c>
      <c r="D91" s="3">
        <v>86.999399999999994</v>
      </c>
    </row>
    <row r="92" spans="1:4" x14ac:dyDescent="0.45">
      <c r="A92" t="s">
        <v>90</v>
      </c>
      <c r="B92" s="2">
        <f t="shared" si="2"/>
        <v>0.20741666720741669</v>
      </c>
      <c r="C92" s="1">
        <v>4024.7222200000001</v>
      </c>
      <c r="D92" s="3">
        <v>3333.3333299999999</v>
      </c>
    </row>
    <row r="93" spans="1:4" x14ac:dyDescent="0.45">
      <c r="A93" t="s">
        <v>91</v>
      </c>
      <c r="B93" s="2">
        <f t="shared" si="2"/>
        <v>-0.1163134653172474</v>
      </c>
      <c r="C93">
        <v>418.24</v>
      </c>
      <c r="D93" s="3">
        <v>473.29</v>
      </c>
    </row>
    <row r="94" spans="1:4" x14ac:dyDescent="0.45">
      <c r="A94" t="s">
        <v>92</v>
      </c>
      <c r="B94" s="2">
        <f t="shared" si="2"/>
        <v>0</v>
      </c>
      <c r="C94">
        <v>130</v>
      </c>
      <c r="D94" s="3">
        <v>130</v>
      </c>
    </row>
    <row r="95" spans="1:4" x14ac:dyDescent="0.45">
      <c r="A95" t="s">
        <v>93</v>
      </c>
      <c r="B95" s="2">
        <f t="shared" si="2"/>
        <v>-2.3915386688224238E-2</v>
      </c>
      <c r="C95" s="1">
        <v>1448.9</v>
      </c>
      <c r="D95" s="3">
        <v>1484.4</v>
      </c>
    </row>
    <row r="96" spans="1:4" x14ac:dyDescent="0.45">
      <c r="A96" t="s">
        <v>94</v>
      </c>
      <c r="B96" s="2">
        <f t="shared" si="2"/>
        <v>-6.4918203064145974E-4</v>
      </c>
      <c r="C96">
        <v>0.30787999999999999</v>
      </c>
      <c r="D96" s="3">
        <v>0.30808000000000002</v>
      </c>
    </row>
    <row r="97" spans="1:4" x14ac:dyDescent="0.45">
      <c r="A97" t="s">
        <v>95</v>
      </c>
      <c r="B97" s="2">
        <f t="shared" si="2"/>
        <v>0</v>
      </c>
      <c r="C97">
        <v>0.82750000000000001</v>
      </c>
      <c r="D97" s="3">
        <v>0.82750000000000001</v>
      </c>
    </row>
    <row r="98" spans="1:4" x14ac:dyDescent="0.45">
      <c r="A98" t="s">
        <v>96</v>
      </c>
      <c r="B98" s="2">
        <f t="shared" ref="B98:B129" si="3">C98/D98-1</f>
        <v>-4.7435988952563957E-2</v>
      </c>
      <c r="C98">
        <v>501.34948000000003</v>
      </c>
      <c r="D98" s="3">
        <v>526.31578999999999</v>
      </c>
    </row>
    <row r="99" spans="1:4" x14ac:dyDescent="0.45">
      <c r="A99" t="s">
        <v>97</v>
      </c>
      <c r="B99" s="2">
        <f t="shared" si="3"/>
        <v>-1.0587536982758938E-2</v>
      </c>
      <c r="C99" s="1">
        <v>21503</v>
      </c>
      <c r="D99" s="3">
        <v>21733.1</v>
      </c>
    </row>
    <row r="100" spans="1:4" x14ac:dyDescent="0.45">
      <c r="A100" t="s">
        <v>98</v>
      </c>
      <c r="B100" s="2">
        <f t="shared" si="3"/>
        <v>0</v>
      </c>
      <c r="C100" s="1">
        <v>89550</v>
      </c>
      <c r="D100" s="3">
        <v>89550</v>
      </c>
    </row>
    <row r="101" spans="1:4" x14ac:dyDescent="0.45">
      <c r="A101" t="s">
        <v>99</v>
      </c>
      <c r="B101" s="2">
        <f t="shared" si="3"/>
        <v>-0.11623395604687625</v>
      </c>
      <c r="C101" s="1">
        <v>1662.85</v>
      </c>
      <c r="D101" s="3">
        <v>1881.55</v>
      </c>
    </row>
    <row r="102" spans="1:4" x14ac:dyDescent="0.45">
      <c r="A102" t="s">
        <v>100</v>
      </c>
      <c r="B102" s="2">
        <f t="shared" si="3"/>
        <v>-9.5761689890045187E-2</v>
      </c>
      <c r="C102" s="1">
        <v>43265</v>
      </c>
      <c r="D102" s="3">
        <v>47846.9</v>
      </c>
    </row>
    <row r="103" spans="1:4" x14ac:dyDescent="0.45">
      <c r="A103" t="s">
        <v>101</v>
      </c>
      <c r="B103" s="2">
        <f t="shared" si="3"/>
        <v>5.2619657473803372E-2</v>
      </c>
      <c r="C103">
        <v>309.59402</v>
      </c>
      <c r="D103" s="3">
        <v>294.11765000000003</v>
      </c>
    </row>
    <row r="104" spans="1:4" x14ac:dyDescent="0.45">
      <c r="A104" t="s">
        <v>102</v>
      </c>
      <c r="B104" s="2">
        <f t="shared" si="3"/>
        <v>-3.2786885245901676E-2</v>
      </c>
      <c r="C104">
        <v>177</v>
      </c>
      <c r="D104" s="3">
        <v>183</v>
      </c>
    </row>
    <row r="105" spans="1:4" x14ac:dyDescent="0.45">
      <c r="A105" t="s">
        <v>103</v>
      </c>
      <c r="B105" s="2">
        <f t="shared" si="3"/>
        <v>-0.11646281748312792</v>
      </c>
      <c r="C105">
        <v>16.600249999999999</v>
      </c>
      <c r="D105" s="3">
        <v>18.788399999999999</v>
      </c>
    </row>
    <row r="106" spans="1:4" x14ac:dyDescent="0.45">
      <c r="A106" t="s">
        <v>104</v>
      </c>
      <c r="B106" s="2">
        <f t="shared" si="3"/>
        <v>-0.11481296403160424</v>
      </c>
      <c r="C106">
        <v>34.329659999999997</v>
      </c>
      <c r="D106" s="3">
        <v>38.782380000000003</v>
      </c>
    </row>
    <row r="107" spans="1:4" x14ac:dyDescent="0.45">
      <c r="A107" t="s">
        <v>105</v>
      </c>
      <c r="B107" s="2">
        <f t="shared" si="3"/>
        <v>-0.11481292711594659</v>
      </c>
      <c r="C107">
        <v>0.85101000000000004</v>
      </c>
      <c r="D107" s="3">
        <v>0.96138999999999997</v>
      </c>
    </row>
    <row r="108" spans="1:4" x14ac:dyDescent="0.45">
      <c r="A108" t="s">
        <v>106</v>
      </c>
      <c r="B108" s="2">
        <f t="shared" si="3"/>
        <v>9.8382417313937376E-2</v>
      </c>
      <c r="C108">
        <v>5.3948700000000001</v>
      </c>
      <c r="D108" s="3">
        <v>4.9116499999999998</v>
      </c>
    </row>
    <row r="109" spans="1:4" x14ac:dyDescent="0.45">
      <c r="A109" t="s">
        <v>107</v>
      </c>
      <c r="B109" s="2">
        <f t="shared" si="3"/>
        <v>-9.9162321777162665E-2</v>
      </c>
      <c r="C109">
        <v>9.1140000000000008</v>
      </c>
      <c r="D109" s="3">
        <v>10.11725</v>
      </c>
    </row>
    <row r="110" spans="1:4" x14ac:dyDescent="0.45">
      <c r="A110" t="s">
        <v>108</v>
      </c>
      <c r="B110" s="2">
        <f t="shared" si="3"/>
        <v>-2.4444380479036854E-2</v>
      </c>
      <c r="C110" s="1">
        <v>22876.95</v>
      </c>
      <c r="D110" s="3">
        <v>23450.174999999999</v>
      </c>
    </row>
    <row r="111" spans="1:4" x14ac:dyDescent="0.45">
      <c r="A111" t="s">
        <v>109</v>
      </c>
      <c r="B111" s="2">
        <f t="shared" si="3"/>
        <v>-9.2690418865480462E-2</v>
      </c>
      <c r="C111">
        <v>16.600000000000001</v>
      </c>
      <c r="D111" s="3">
        <v>18.295850000000002</v>
      </c>
    </row>
    <row r="112" spans="1:4" x14ac:dyDescent="0.45">
      <c r="A112" t="s">
        <v>110</v>
      </c>
      <c r="B112" s="2">
        <f t="shared" si="3"/>
        <v>-0.12908471175129266</v>
      </c>
      <c r="C112" s="1">
        <v>17985.349999999999</v>
      </c>
      <c r="D112" s="3">
        <v>20651.09</v>
      </c>
    </row>
    <row r="113" spans="1:4" x14ac:dyDescent="0.45">
      <c r="A113" t="s">
        <v>111</v>
      </c>
      <c r="B113" s="2">
        <f t="shared" si="3"/>
        <v>-2.4444380479036854E-2</v>
      </c>
      <c r="C113" s="1">
        <v>4575.3900000000003</v>
      </c>
      <c r="D113" s="3">
        <v>4690.0349999999999</v>
      </c>
    </row>
    <row r="114" spans="1:4" x14ac:dyDescent="0.45">
      <c r="A114" t="s">
        <v>112</v>
      </c>
      <c r="B114" s="2">
        <f t="shared" si="3"/>
        <v>6.536764500000003E-2</v>
      </c>
      <c r="C114" s="1">
        <v>2130.7352900000001</v>
      </c>
      <c r="D114" s="3">
        <v>2000</v>
      </c>
    </row>
    <row r="115" spans="1:4" x14ac:dyDescent="0.45">
      <c r="A115" t="s">
        <v>113</v>
      </c>
      <c r="B115" s="2">
        <f t="shared" si="3"/>
        <v>-0.11481292711594659</v>
      </c>
      <c r="C115">
        <v>0.85101000000000004</v>
      </c>
      <c r="D115" s="3">
        <v>0.96138999999999997</v>
      </c>
    </row>
    <row r="116" spans="1:4" x14ac:dyDescent="0.45">
      <c r="A116" t="s">
        <v>114</v>
      </c>
      <c r="B116" s="2">
        <f t="shared" si="3"/>
        <v>4.0479321934823842E-2</v>
      </c>
      <c r="C116" s="1">
        <v>3560</v>
      </c>
      <c r="D116" s="3">
        <v>3421.5</v>
      </c>
    </row>
    <row r="117" spans="1:4" x14ac:dyDescent="0.45">
      <c r="A117" t="s">
        <v>115</v>
      </c>
      <c r="B117" s="2">
        <f t="shared" si="3"/>
        <v>-3.4472379006322829E-4</v>
      </c>
      <c r="C117">
        <v>8.0036500000000004</v>
      </c>
      <c r="D117" s="3">
        <v>8.0064100000000007</v>
      </c>
    </row>
    <row r="118" spans="1:4" x14ac:dyDescent="0.45">
      <c r="A118" t="s">
        <v>116</v>
      </c>
      <c r="B118" s="2">
        <f t="shared" si="3"/>
        <v>-0.11481556330837295</v>
      </c>
      <c r="C118">
        <v>1.6644300000000001</v>
      </c>
      <c r="D118" s="3">
        <v>1.88032</v>
      </c>
    </row>
    <row r="119" spans="1:4" x14ac:dyDescent="0.45">
      <c r="A119" t="s">
        <v>117</v>
      </c>
      <c r="B119" s="2">
        <f t="shared" si="3"/>
        <v>0</v>
      </c>
      <c r="C119">
        <v>356</v>
      </c>
      <c r="D119" s="3">
        <v>356</v>
      </c>
    </row>
    <row r="120" spans="1:4" x14ac:dyDescent="0.45">
      <c r="A120" t="s">
        <v>118</v>
      </c>
      <c r="B120" s="2">
        <f t="shared" si="3"/>
        <v>-0.11481292711594659</v>
      </c>
      <c r="C120">
        <v>0.85101000000000004</v>
      </c>
      <c r="D120" s="3">
        <v>0.96138999999999997</v>
      </c>
    </row>
    <row r="121" spans="1:4" x14ac:dyDescent="0.45">
      <c r="A121" t="s">
        <v>119</v>
      </c>
      <c r="B121" s="2">
        <f t="shared" si="3"/>
        <v>-1.6284551103492695E-2</v>
      </c>
      <c r="C121">
        <v>45.91</v>
      </c>
      <c r="D121" s="3">
        <v>46.67</v>
      </c>
    </row>
    <row r="122" spans="1:4" x14ac:dyDescent="0.45">
      <c r="A122" t="s">
        <v>120</v>
      </c>
      <c r="B122" s="2">
        <f t="shared" si="3"/>
        <v>0</v>
      </c>
      <c r="C122">
        <v>15.42</v>
      </c>
      <c r="D122" s="3">
        <v>15.42</v>
      </c>
    </row>
    <row r="123" spans="1:4" x14ac:dyDescent="0.45">
      <c r="A123" t="s">
        <v>121</v>
      </c>
      <c r="B123" s="2">
        <f t="shared" si="3"/>
        <v>0</v>
      </c>
      <c r="C123" s="1">
        <v>1717.02</v>
      </c>
      <c r="D123" s="3">
        <v>1717.02</v>
      </c>
    </row>
    <row r="124" spans="1:4" x14ac:dyDescent="0.45">
      <c r="A124" t="s">
        <v>122</v>
      </c>
      <c r="B124" s="2">
        <f t="shared" si="3"/>
        <v>-0.12908471175129255</v>
      </c>
      <c r="C124">
        <v>17.98535</v>
      </c>
      <c r="D124" s="3">
        <v>20.65109</v>
      </c>
    </row>
    <row r="125" spans="1:4" x14ac:dyDescent="0.45">
      <c r="A125" t="s">
        <v>123</v>
      </c>
      <c r="B125" s="2">
        <f t="shared" si="3"/>
        <v>-9.3678950068207922E-2</v>
      </c>
      <c r="C125">
        <v>4.0460799999999999</v>
      </c>
      <c r="D125" s="3">
        <v>4.4642900000000001</v>
      </c>
    </row>
    <row r="126" spans="1:4" x14ac:dyDescent="0.45">
      <c r="A126" t="s">
        <v>124</v>
      </c>
      <c r="B126" s="2">
        <f t="shared" si="3"/>
        <v>0</v>
      </c>
      <c r="C126" s="1">
        <v>63270</v>
      </c>
      <c r="D126" s="3">
        <v>63270</v>
      </c>
    </row>
    <row r="127" spans="1:4" x14ac:dyDescent="0.45">
      <c r="A127" t="s">
        <v>125</v>
      </c>
      <c r="B127" s="2">
        <f t="shared" si="3"/>
        <v>-5.7752590673575188E-2</v>
      </c>
      <c r="C127" s="1">
        <v>1454.83</v>
      </c>
      <c r="D127" s="3">
        <v>1544</v>
      </c>
    </row>
    <row r="128" spans="1:4" x14ac:dyDescent="0.45">
      <c r="A128" t="s">
        <v>126</v>
      </c>
      <c r="B128" s="2">
        <f t="shared" si="3"/>
        <v>0</v>
      </c>
      <c r="C128">
        <v>36.6</v>
      </c>
      <c r="D128" s="3">
        <v>36.6</v>
      </c>
    </row>
    <row r="129" spans="1:4" x14ac:dyDescent="0.45">
      <c r="A129" t="s">
        <v>127</v>
      </c>
      <c r="B129" s="2">
        <f t="shared" si="3"/>
        <v>-0.11478256766003636</v>
      </c>
      <c r="C129">
        <v>1.87582</v>
      </c>
      <c r="D129" s="3">
        <v>2.1190500000000001</v>
      </c>
    </row>
    <row r="130" spans="1:4" x14ac:dyDescent="0.45">
      <c r="A130" t="s">
        <v>128</v>
      </c>
      <c r="B130" s="2">
        <f t="shared" ref="B130:B161" si="4">C130/D130-1</f>
        <v>-0.11387509932454898</v>
      </c>
      <c r="C130">
        <v>10.04785</v>
      </c>
      <c r="D130" s="3">
        <v>11.339090000000001</v>
      </c>
    </row>
    <row r="131" spans="1:4" x14ac:dyDescent="0.45">
      <c r="A131" t="s">
        <v>129</v>
      </c>
      <c r="B131" s="2">
        <f t="shared" si="4"/>
        <v>4.7224795472248005E-2</v>
      </c>
      <c r="C131">
        <v>143.45545000000001</v>
      </c>
      <c r="D131" s="3">
        <v>136.9863</v>
      </c>
    </row>
    <row r="132" spans="1:4" x14ac:dyDescent="0.45">
      <c r="A132" t="s">
        <v>130</v>
      </c>
      <c r="B132" s="2">
        <f t="shared" si="4"/>
        <v>-0.10352725606962898</v>
      </c>
      <c r="C132" s="1">
        <v>39140</v>
      </c>
      <c r="D132" s="3">
        <v>43660</v>
      </c>
    </row>
    <row r="133" spans="1:4" x14ac:dyDescent="0.45">
      <c r="A133" t="s">
        <v>131</v>
      </c>
      <c r="B133" s="2">
        <f t="shared" si="4"/>
        <v>-2.7146745715525555E-2</v>
      </c>
      <c r="C133">
        <v>1.7262599999999999</v>
      </c>
      <c r="D133" s="3">
        <v>1.77443</v>
      </c>
    </row>
    <row r="134" spans="1:4" x14ac:dyDescent="0.45">
      <c r="A134" t="s">
        <v>132</v>
      </c>
      <c r="B134" s="2">
        <f t="shared" si="4"/>
        <v>-2.207677523245466E-3</v>
      </c>
      <c r="C134">
        <v>0.38417000000000001</v>
      </c>
      <c r="D134" s="3">
        <v>0.38501999999999997</v>
      </c>
    </row>
    <row r="135" spans="1:4" x14ac:dyDescent="0.45">
      <c r="A135" t="s">
        <v>133</v>
      </c>
      <c r="B135" s="2">
        <f t="shared" si="4"/>
        <v>0</v>
      </c>
      <c r="C135">
        <v>1</v>
      </c>
      <c r="D135" s="3">
        <v>1</v>
      </c>
    </row>
    <row r="136" spans="1:4" x14ac:dyDescent="0.45">
      <c r="A136" t="s">
        <v>134</v>
      </c>
      <c r="B136" s="2">
        <f t="shared" si="4"/>
        <v>-0.10455671256225207</v>
      </c>
      <c r="C136">
        <v>3.3622999999999998</v>
      </c>
      <c r="D136" s="3">
        <v>3.7549000000000001</v>
      </c>
    </row>
    <row r="137" spans="1:4" x14ac:dyDescent="0.45">
      <c r="A137" t="s">
        <v>135</v>
      </c>
      <c r="B137" s="2">
        <f t="shared" si="4"/>
        <v>4.7873506184574532E-2</v>
      </c>
      <c r="C137">
        <v>4.2553200000000002</v>
      </c>
      <c r="D137" s="3">
        <v>4.0609099999999998</v>
      </c>
    </row>
    <row r="138" spans="1:4" x14ac:dyDescent="0.45">
      <c r="A138" t="s">
        <v>136</v>
      </c>
      <c r="B138" s="2">
        <f t="shared" si="4"/>
        <v>1.7316524684440227E-2</v>
      </c>
      <c r="C138">
        <v>58.850529999999999</v>
      </c>
      <c r="D138" s="3">
        <v>57.848790000000001</v>
      </c>
    </row>
    <row r="139" spans="1:4" x14ac:dyDescent="0.45">
      <c r="A139" t="s">
        <v>137</v>
      </c>
      <c r="B139" s="2">
        <f t="shared" si="4"/>
        <v>6.9575039443399156E-3</v>
      </c>
      <c r="C139">
        <v>279.71042</v>
      </c>
      <c r="D139" s="3">
        <v>277.77778000000001</v>
      </c>
    </row>
    <row r="140" spans="1:4" x14ac:dyDescent="0.45">
      <c r="A140" t="s">
        <v>138</v>
      </c>
      <c r="B140" s="2">
        <f t="shared" si="4"/>
        <v>-0.12607357110697381</v>
      </c>
      <c r="C140">
        <v>3.5909200000000001</v>
      </c>
      <c r="D140" s="3">
        <v>4.1089500000000001</v>
      </c>
    </row>
    <row r="141" spans="1:4" x14ac:dyDescent="0.45">
      <c r="A141" t="s">
        <v>139</v>
      </c>
      <c r="B141" s="2">
        <f t="shared" si="4"/>
        <v>-0.11481291070900757</v>
      </c>
      <c r="C141">
        <v>170.61219</v>
      </c>
      <c r="D141" s="3">
        <v>192.74139</v>
      </c>
    </row>
    <row r="142" spans="1:4" x14ac:dyDescent="0.45">
      <c r="A142" t="s">
        <v>140</v>
      </c>
      <c r="B142" s="2">
        <f t="shared" si="4"/>
        <v>-0.14663600359044815</v>
      </c>
      <c r="C142" s="1">
        <v>6664.44</v>
      </c>
      <c r="D142" s="3">
        <v>7809.61</v>
      </c>
    </row>
    <row r="143" spans="1:4" x14ac:dyDescent="0.45">
      <c r="A143" t="s">
        <v>141</v>
      </c>
      <c r="B143" s="2">
        <f t="shared" si="4"/>
        <v>-2.3507532285140798E-3</v>
      </c>
      <c r="C143">
        <v>3.63707</v>
      </c>
      <c r="D143" s="3">
        <v>3.6456400000000002</v>
      </c>
    </row>
    <row r="144" spans="1:4" x14ac:dyDescent="0.45">
      <c r="A144" t="s">
        <v>142</v>
      </c>
      <c r="B144" s="2">
        <f t="shared" si="4"/>
        <v>0</v>
      </c>
      <c r="C144" s="1">
        <v>30670</v>
      </c>
      <c r="D144" s="3">
        <v>30670</v>
      </c>
    </row>
    <row r="145" spans="1:4" x14ac:dyDescent="0.45">
      <c r="A145" t="s">
        <v>143</v>
      </c>
      <c r="B145" s="2">
        <f t="shared" si="4"/>
        <v>-9.5761689890045187E-2</v>
      </c>
      <c r="C145">
        <v>4.3265000000000002</v>
      </c>
      <c r="D145" s="3">
        <v>4.7846900000000003</v>
      </c>
    </row>
    <row r="146" spans="1:4" x14ac:dyDescent="0.45">
      <c r="A146" t="s">
        <v>144</v>
      </c>
      <c r="B146" s="2">
        <f t="shared" si="4"/>
        <v>-0.28099978948424198</v>
      </c>
      <c r="C146">
        <v>77.564239999999998</v>
      </c>
      <c r="D146" s="3">
        <v>107.87791</v>
      </c>
    </row>
    <row r="147" spans="1:4" x14ac:dyDescent="0.45">
      <c r="A147" t="s">
        <v>145</v>
      </c>
      <c r="B147" s="2">
        <f t="shared" si="4"/>
        <v>-0.11185234600845007</v>
      </c>
      <c r="C147">
        <v>99.85</v>
      </c>
      <c r="D147" s="3">
        <v>112.425</v>
      </c>
    </row>
    <row r="148" spans="1:4" x14ac:dyDescent="0.45">
      <c r="A148" t="s">
        <v>146</v>
      </c>
      <c r="B148" s="2">
        <f t="shared" si="4"/>
        <v>-0.28099978948424198</v>
      </c>
      <c r="C148">
        <v>77.564239999999998</v>
      </c>
      <c r="D148" s="3">
        <v>107.87791</v>
      </c>
    </row>
    <row r="149" spans="1:4" x14ac:dyDescent="0.45">
      <c r="A149" t="s">
        <v>147</v>
      </c>
      <c r="B149" s="2">
        <f t="shared" si="4"/>
        <v>5.7354095547563988E-2</v>
      </c>
      <c r="C149" s="1">
        <v>1448.02</v>
      </c>
      <c r="D149" s="3">
        <v>1369.4749999999999</v>
      </c>
    </row>
    <row r="150" spans="1:4" x14ac:dyDescent="0.45">
      <c r="A150" t="s">
        <v>148</v>
      </c>
      <c r="B150" s="2">
        <f t="shared" si="4"/>
        <v>-1.2783841224691672E-3</v>
      </c>
      <c r="C150">
        <v>3.7499400000000001</v>
      </c>
      <c r="D150" s="3">
        <v>3.75474</v>
      </c>
    </row>
    <row r="151" spans="1:4" x14ac:dyDescent="0.45">
      <c r="A151" t="s">
        <v>149</v>
      </c>
      <c r="B151" s="2">
        <f t="shared" si="4"/>
        <v>-0.11698171544325386</v>
      </c>
      <c r="C151">
        <v>16.564540000000001</v>
      </c>
      <c r="D151" s="3">
        <v>18.759</v>
      </c>
    </row>
    <row r="152" spans="1:4" x14ac:dyDescent="0.45">
      <c r="A152" t="s">
        <v>150</v>
      </c>
      <c r="B152" s="2">
        <f t="shared" si="4"/>
        <v>-5.144679736340918E-2</v>
      </c>
      <c r="C152">
        <v>8.0385899999999992</v>
      </c>
      <c r="D152" s="3">
        <v>8.4745799999999996</v>
      </c>
    </row>
    <row r="153" spans="1:4" x14ac:dyDescent="0.45">
      <c r="A153" t="s">
        <v>151</v>
      </c>
      <c r="B153" s="2">
        <f t="shared" si="4"/>
        <v>1.47678435998988E-2</v>
      </c>
      <c r="C153">
        <v>14.450699999999999</v>
      </c>
      <c r="D153" s="3">
        <v>14.240399999999999</v>
      </c>
    </row>
    <row r="154" spans="1:4" x14ac:dyDescent="0.45">
      <c r="A154" t="s">
        <v>152</v>
      </c>
      <c r="B154" s="2">
        <f t="shared" si="4"/>
        <v>-8.3261076595697592E-4</v>
      </c>
      <c r="C154">
        <v>600.02070000000003</v>
      </c>
      <c r="D154" s="3">
        <v>600.52070000000003</v>
      </c>
    </row>
    <row r="155" spans="1:4" x14ac:dyDescent="0.45">
      <c r="A155" t="s">
        <v>153</v>
      </c>
      <c r="B155" s="2">
        <f t="shared" si="4"/>
        <v>-0.16618849096814492</v>
      </c>
      <c r="C155">
        <v>9.1981999999999999</v>
      </c>
      <c r="D155" s="3">
        <v>11.031510000000001</v>
      </c>
    </row>
    <row r="156" spans="1:4" x14ac:dyDescent="0.45">
      <c r="A156" t="s">
        <v>154</v>
      </c>
      <c r="B156" s="2">
        <f t="shared" si="4"/>
        <v>7.4306660604682939E-2</v>
      </c>
      <c r="C156" s="1">
        <v>378070</v>
      </c>
      <c r="D156" s="3">
        <v>351920</v>
      </c>
    </row>
    <row r="157" spans="1:4" x14ac:dyDescent="0.45">
      <c r="A157" t="s">
        <v>155</v>
      </c>
      <c r="B157" s="2">
        <f t="shared" si="4"/>
        <v>-5.5741901315208731E-2</v>
      </c>
      <c r="C157">
        <v>1.2837000000000001</v>
      </c>
      <c r="D157" s="3">
        <v>1.35948</v>
      </c>
    </row>
    <row r="158" spans="1:4" x14ac:dyDescent="0.45">
      <c r="A158" t="s">
        <v>156</v>
      </c>
      <c r="B158" s="2">
        <f t="shared" si="4"/>
        <v>-6.7875400962309596E-2</v>
      </c>
      <c r="C158">
        <v>0.74390999999999996</v>
      </c>
      <c r="D158" s="3">
        <v>0.79808000000000001</v>
      </c>
    </row>
    <row r="159" spans="1:4" x14ac:dyDescent="0.45">
      <c r="A159" t="s">
        <v>157</v>
      </c>
      <c r="B159" s="2">
        <f t="shared" si="4"/>
        <v>-0.11481291302696539</v>
      </c>
      <c r="C159">
        <v>203.93603999999999</v>
      </c>
      <c r="D159" s="3">
        <v>230.38749999999999</v>
      </c>
    </row>
    <row r="160" spans="1:4" x14ac:dyDescent="0.45">
      <c r="A160" t="s">
        <v>158</v>
      </c>
      <c r="B160" s="2">
        <f t="shared" si="4"/>
        <v>-0.11478561343795202</v>
      </c>
      <c r="C160">
        <v>25.643509999999999</v>
      </c>
      <c r="D160" s="3">
        <v>28.968699999999998</v>
      </c>
    </row>
    <row r="161" spans="1:4" x14ac:dyDescent="0.45">
      <c r="A161" t="s">
        <v>159</v>
      </c>
      <c r="B161" s="2">
        <f t="shared" si="4"/>
        <v>0</v>
      </c>
      <c r="C161" s="1">
        <v>22683</v>
      </c>
      <c r="D161" s="3">
        <v>22683</v>
      </c>
    </row>
    <row r="162" spans="1:4" x14ac:dyDescent="0.45">
      <c r="A162" t="s">
        <v>160</v>
      </c>
      <c r="B162" s="2">
        <f t="shared" ref="B162:B193" si="5">C162/D162-1</f>
        <v>-1.7605633802817433E-3</v>
      </c>
      <c r="C162">
        <v>567</v>
      </c>
      <c r="D162" s="3">
        <v>568</v>
      </c>
    </row>
    <row r="163" spans="1:4" x14ac:dyDescent="0.45">
      <c r="A163" t="s">
        <v>161</v>
      </c>
      <c r="B163" s="2">
        <f t="shared" si="5"/>
        <v>7.4306660604682939E-2</v>
      </c>
      <c r="C163">
        <v>37.807000000000002</v>
      </c>
      <c r="D163" s="3">
        <v>35.192</v>
      </c>
    </row>
    <row r="164" spans="1:4" x14ac:dyDescent="0.45">
      <c r="A164" t="s">
        <v>162</v>
      </c>
      <c r="B164" s="2">
        <f t="shared" si="5"/>
        <v>0</v>
      </c>
      <c r="C164" s="1">
        <v>21000</v>
      </c>
      <c r="D164" s="3">
        <v>21000</v>
      </c>
    </row>
    <row r="165" spans="1:4" x14ac:dyDescent="0.45">
      <c r="A165" t="s">
        <v>163</v>
      </c>
      <c r="B165" s="2">
        <f t="shared" si="5"/>
        <v>0</v>
      </c>
      <c r="C165" s="1">
        <v>25000</v>
      </c>
      <c r="D165" s="3">
        <v>25000</v>
      </c>
    </row>
    <row r="166" spans="1:4" x14ac:dyDescent="0.45">
      <c r="A166" t="s">
        <v>164</v>
      </c>
      <c r="B166" s="2">
        <f t="shared" si="5"/>
        <v>0</v>
      </c>
      <c r="C166" s="1">
        <v>25000</v>
      </c>
      <c r="D166" s="3">
        <v>25000</v>
      </c>
    </row>
    <row r="167" spans="1:4" x14ac:dyDescent="0.45">
      <c r="A167" t="s">
        <v>165</v>
      </c>
      <c r="B167" s="2">
        <f t="shared" si="5"/>
        <v>-8.3261076595697592E-4</v>
      </c>
      <c r="C167" s="1">
        <v>5400.1863000000003</v>
      </c>
      <c r="D167" s="3">
        <v>5404.6863000000003</v>
      </c>
    </row>
    <row r="168" spans="1:4" x14ac:dyDescent="0.45">
      <c r="A168" t="s">
        <v>166</v>
      </c>
      <c r="B168" s="2">
        <f t="shared" si="5"/>
        <v>4.9741856914953253E-4</v>
      </c>
      <c r="C168">
        <v>8.7494999999999994</v>
      </c>
      <c r="D168" s="3">
        <v>8.7451500000000006</v>
      </c>
    </row>
    <row r="169" spans="1:4" x14ac:dyDescent="0.45">
      <c r="A169" t="s">
        <v>167</v>
      </c>
      <c r="B169" s="2">
        <f t="shared" si="5"/>
        <v>-0.14946153846153842</v>
      </c>
      <c r="C169" s="1">
        <v>11057</v>
      </c>
      <c r="D169" s="3">
        <v>13000</v>
      </c>
    </row>
    <row r="170" spans="1:4" x14ac:dyDescent="0.45">
      <c r="A170" t="s">
        <v>168</v>
      </c>
      <c r="B170" s="2">
        <f t="shared" si="5"/>
        <v>-0.11745012880287831</v>
      </c>
      <c r="C170">
        <v>16.581700000000001</v>
      </c>
      <c r="D170" s="3">
        <v>18.788399999999999</v>
      </c>
    </row>
    <row r="171" spans="1:4" x14ac:dyDescent="0.45">
      <c r="A171" t="s">
        <v>169</v>
      </c>
      <c r="B171" s="2">
        <f t="shared" si="5"/>
        <v>-7.9848995615454221E-2</v>
      </c>
      <c r="C171">
        <v>31.44997</v>
      </c>
      <c r="D171" s="3">
        <v>34.179139999999997</v>
      </c>
    </row>
    <row r="172" spans="1:4" x14ac:dyDescent="0.45">
      <c r="A172" t="s">
        <v>170</v>
      </c>
      <c r="B172" s="2">
        <f t="shared" si="5"/>
        <v>-5.7147755521902432E-5</v>
      </c>
      <c r="C172">
        <v>3.4994999999999998</v>
      </c>
      <c r="D172" s="3">
        <v>3.4996999999999998</v>
      </c>
    </row>
    <row r="173" spans="1:4" x14ac:dyDescent="0.45">
      <c r="A173" t="s">
        <v>171</v>
      </c>
      <c r="B173" s="2">
        <f t="shared" si="5"/>
        <v>-9.7980624056366317E-2</v>
      </c>
      <c r="C173">
        <v>2.8677000000000001</v>
      </c>
      <c r="D173" s="3">
        <v>3.1791999999999998</v>
      </c>
    </row>
    <row r="174" spans="1:4" x14ac:dyDescent="0.45">
      <c r="A174" t="s">
        <v>172</v>
      </c>
      <c r="B174" s="2">
        <f t="shared" si="5"/>
        <v>-1.4691620826609797E-2</v>
      </c>
      <c r="C174">
        <v>2.4485800000000002</v>
      </c>
      <c r="D174" s="3">
        <v>2.48509</v>
      </c>
    </row>
    <row r="175" spans="1:4" x14ac:dyDescent="0.45">
      <c r="A175" t="s">
        <v>173</v>
      </c>
      <c r="B175" s="2">
        <f t="shared" si="5"/>
        <v>0.21605788661821057</v>
      </c>
      <c r="C175">
        <v>42.917650000000002</v>
      </c>
      <c r="D175" s="3">
        <v>35.292439999999999</v>
      </c>
    </row>
    <row r="176" spans="1:4" x14ac:dyDescent="0.45">
      <c r="A176" t="s">
        <v>174</v>
      </c>
      <c r="B176" s="2">
        <f t="shared" si="5"/>
        <v>-1.4483971564119846E-3</v>
      </c>
      <c r="C176">
        <v>6.7563000000000004</v>
      </c>
      <c r="D176" s="3">
        <v>6.7660999999999998</v>
      </c>
    </row>
    <row r="177" spans="1:4" x14ac:dyDescent="0.45">
      <c r="A177" t="s">
        <v>175</v>
      </c>
      <c r="B177" s="2">
        <f t="shared" si="5"/>
        <v>0.21605788661821057</v>
      </c>
      <c r="C177" s="1">
        <v>42917650</v>
      </c>
      <c r="D177" s="3">
        <v>35292440</v>
      </c>
    </row>
    <row r="178" spans="1:4" x14ac:dyDescent="0.45">
      <c r="A178" t="s">
        <v>176</v>
      </c>
      <c r="B178" s="2">
        <f t="shared" si="5"/>
        <v>-4.780355806848402E-2</v>
      </c>
      <c r="C178">
        <v>31.219560000000001</v>
      </c>
      <c r="D178" s="3">
        <v>32.78689</v>
      </c>
    </row>
    <row r="179" spans="1:4" x14ac:dyDescent="0.45">
      <c r="A179" t="s">
        <v>177</v>
      </c>
      <c r="B179" s="2">
        <f t="shared" si="5"/>
        <v>1.0224948875255713E-2</v>
      </c>
      <c r="C179" s="1">
        <v>2470</v>
      </c>
      <c r="D179" s="3">
        <v>2445</v>
      </c>
    </row>
    <row r="180" spans="1:4" x14ac:dyDescent="0.45">
      <c r="A180" t="s">
        <v>178</v>
      </c>
      <c r="B180" s="2">
        <f t="shared" si="5"/>
        <v>4.1126737132299862E-3</v>
      </c>
      <c r="C180">
        <v>42.250300000000003</v>
      </c>
      <c r="D180" s="3">
        <v>42.077249999999999</v>
      </c>
    </row>
    <row r="181" spans="1:4" x14ac:dyDescent="0.45">
      <c r="A181" t="s">
        <v>179</v>
      </c>
      <c r="B181" s="2">
        <f t="shared" si="5"/>
        <v>-1.442962156275529E-2</v>
      </c>
      <c r="C181" s="1">
        <v>3620</v>
      </c>
      <c r="D181" s="3">
        <v>3673</v>
      </c>
    </row>
    <row r="182" spans="1:4" x14ac:dyDescent="0.45">
      <c r="A182" t="s">
        <v>180</v>
      </c>
      <c r="B182" s="2">
        <f t="shared" si="5"/>
        <v>0</v>
      </c>
      <c r="C182">
        <v>1</v>
      </c>
      <c r="D182" s="3">
        <v>1</v>
      </c>
    </row>
    <row r="183" spans="1:4" x14ac:dyDescent="0.45">
      <c r="A183" t="s">
        <v>181</v>
      </c>
      <c r="B183" s="2">
        <f t="shared" si="5"/>
        <v>-0.10352725606962887</v>
      </c>
      <c r="C183">
        <v>39.14</v>
      </c>
      <c r="D183" s="3">
        <v>43.66</v>
      </c>
    </row>
    <row r="184" spans="1:4" x14ac:dyDescent="0.45">
      <c r="A184" t="s">
        <v>182</v>
      </c>
      <c r="B184" s="2">
        <f t="shared" si="5"/>
        <v>0.20741666699999994</v>
      </c>
      <c r="C184" s="1">
        <v>12074.166670000001</v>
      </c>
      <c r="D184" s="3">
        <v>10000</v>
      </c>
    </row>
    <row r="185" spans="1:4" x14ac:dyDescent="0.45">
      <c r="A185" t="s">
        <v>183</v>
      </c>
      <c r="B185" s="2">
        <f t="shared" si="5"/>
        <v>0</v>
      </c>
      <c r="C185" s="1">
        <v>248520960</v>
      </c>
      <c r="D185" s="3">
        <v>248520960</v>
      </c>
    </row>
    <row r="186" spans="1:4" x14ac:dyDescent="0.45">
      <c r="A186" t="s">
        <v>184</v>
      </c>
      <c r="B186" s="2">
        <f t="shared" si="5"/>
        <v>0</v>
      </c>
      <c r="C186" s="1">
        <v>248520.95999999999</v>
      </c>
      <c r="D186" s="3">
        <v>248520.95999999999</v>
      </c>
    </row>
    <row r="187" spans="1:4" x14ac:dyDescent="0.45">
      <c r="A187" t="s">
        <v>185</v>
      </c>
      <c r="B187" s="2">
        <f t="shared" si="5"/>
        <v>3.1000444465448584E-2</v>
      </c>
      <c r="C187" s="1">
        <v>26295.825769999999</v>
      </c>
      <c r="D187" s="3">
        <v>25505.154640000001</v>
      </c>
    </row>
    <row r="188" spans="1:4" x14ac:dyDescent="0.45">
      <c r="A188" t="s">
        <v>186</v>
      </c>
      <c r="B188" s="2">
        <f t="shared" si="5"/>
        <v>2.6853448275862002E-2</v>
      </c>
      <c r="C188">
        <v>119.11499999999999</v>
      </c>
      <c r="D188" s="3">
        <v>116</v>
      </c>
    </row>
    <row r="189" spans="1:4" x14ac:dyDescent="0.45">
      <c r="A189" t="s">
        <v>187</v>
      </c>
      <c r="B189" s="2">
        <f t="shared" si="5"/>
        <v>-2.6397297158243016E-2</v>
      </c>
      <c r="C189">
        <v>2.8384900000000002</v>
      </c>
      <c r="D189" s="3">
        <v>2.9154499999999999</v>
      </c>
    </row>
    <row r="190" spans="1:4" x14ac:dyDescent="0.45">
      <c r="A190" t="s">
        <v>188</v>
      </c>
      <c r="B190" s="2">
        <f t="shared" si="5"/>
        <v>-0.12958263381876389</v>
      </c>
      <c r="C190">
        <v>557.35</v>
      </c>
      <c r="D190" s="3">
        <v>640.32500000000005</v>
      </c>
    </row>
    <row r="191" spans="1:4" x14ac:dyDescent="0.45">
      <c r="A191" t="s">
        <v>189</v>
      </c>
      <c r="B191" s="2">
        <f t="shared" si="5"/>
        <v>0</v>
      </c>
      <c r="C191">
        <v>2.69</v>
      </c>
      <c r="D191" s="3">
        <v>2.69</v>
      </c>
    </row>
    <row r="192" spans="1:4" x14ac:dyDescent="0.45">
      <c r="A192" t="s">
        <v>190</v>
      </c>
      <c r="B192" s="2">
        <f t="shared" si="5"/>
        <v>-0.11632583041434941</v>
      </c>
      <c r="C192">
        <v>553.75</v>
      </c>
      <c r="D192" s="3">
        <v>626.64499999999998</v>
      </c>
    </row>
    <row r="193" spans="1:4" x14ac:dyDescent="0.45">
      <c r="A193" t="s">
        <v>191</v>
      </c>
      <c r="B193" s="2">
        <f t="shared" si="5"/>
        <v>0</v>
      </c>
      <c r="C193">
        <v>50</v>
      </c>
      <c r="D193" s="3">
        <v>50</v>
      </c>
    </row>
    <row r="194" spans="1:4" x14ac:dyDescent="0.45">
      <c r="A194" t="s">
        <v>192</v>
      </c>
      <c r="B194" s="2">
        <f t="shared" ref="B194:B196" si="6">C194/D194-1</f>
        <v>-0.79959919839679361</v>
      </c>
      <c r="C194">
        <v>50</v>
      </c>
      <c r="D194" s="3">
        <v>249.5</v>
      </c>
    </row>
    <row r="195" spans="1:4" x14ac:dyDescent="0.45">
      <c r="A195" t="s">
        <v>193</v>
      </c>
      <c r="B195" s="2">
        <f t="shared" si="6"/>
        <v>0</v>
      </c>
      <c r="C195" s="1">
        <v>99999.999899999995</v>
      </c>
      <c r="D195" s="3">
        <v>99999.999899999995</v>
      </c>
    </row>
    <row r="196" spans="1:4" x14ac:dyDescent="0.45">
      <c r="A196" t="s">
        <v>194</v>
      </c>
      <c r="B196" s="2">
        <f t="shared" si="6"/>
        <v>-0.40432465477560409</v>
      </c>
      <c r="C196">
        <v>16.564540000000001</v>
      </c>
      <c r="D196" s="3">
        <v>27.808</v>
      </c>
    </row>
  </sheetData>
  <autoFilter ref="A1:D196" xr:uid="{ACABAF15-2864-4563-A9D1-133E919D57A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나윤수(Yunsu Na)</dc:creator>
  <cp:lastModifiedBy>나윤수(Yunsu Na)</cp:lastModifiedBy>
  <dcterms:created xsi:type="dcterms:W3CDTF">2025-12-15T23:55:20Z</dcterms:created>
  <dcterms:modified xsi:type="dcterms:W3CDTF">2026-05-21T23:58:48Z</dcterms:modified>
</cp:coreProperties>
</file>